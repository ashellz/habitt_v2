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admap" sheetId="1" state="visible" r:id="rId3"/>
    <sheet name="Summary" sheetId="2" state="visible" r:id="rId4"/>
  </sheets>
  <definedNames>
    <definedName function="false" hidden="true" localSheetId="0" name="_xlnm._FilterDatabase" vbProcedure="false">Roadmap!$A$5:$J$30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<sst xmlns="http://schemas.openxmlformats.org/spreadsheetml/2006/main" count="208" uniqueCount="117">
  <si>
    <t xml:space="preserve">Habitt v2: Feature &amp; Fix Backlog (easiest to hardest)</t>
  </si>
  <si>
    <t xml:space="preserve">RELEASE GATE: Health sync is unfinished. All rows marked 'YES' in 'Must ship before release' must be done before publishing any other changes.</t>
  </si>
  <si>
    <t xml:space="preserve">Difficulty score 1-10 is an estimate based on the current code (as of 16 Oct 2026). Sources: README 'Future features', Discord notes (14.9., 23.9., 16.10.), and your extra item.</t>
  </si>
  <si>
    <t xml:space="preserve">#</t>
  </si>
  <si>
    <t xml:space="preserve">Feature / Task</t>
  </si>
  <si>
    <t xml:space="preserve">Area</t>
  </si>
  <si>
    <t xml:space="preserve">Source</t>
  </si>
  <si>
    <t xml:space="preserve">What it involves</t>
  </si>
  <si>
    <t xml:space="preserve">Current state in code</t>
  </si>
  <si>
    <t xml:space="preserve">Difficulty (1-10)</t>
  </si>
  <si>
    <t xml:space="preserve">Difficulty</t>
  </si>
  <si>
    <t xml:space="preserve">Must ship before release</t>
  </si>
  <si>
    <t xml:space="preserve">Status</t>
  </si>
  <si>
    <t xml:space="preserve">Habit-complete sound ON by default</t>
  </si>
  <si>
    <t xml:space="preserve">Dopamine</t>
  </si>
  <si>
    <t xml:space="preserve">Discord 14.9.</t>
  </si>
  <si>
    <t xml:space="preserve">Flip the default of the completion-sound preference and make sure existing users keep their own choice.</t>
  </si>
  <si>
    <t xml:space="preserve">Sound assets already exist (assets/sound/sound_01-10.mp3).</t>
  </si>
  <si>
    <t xml:space="preserve">Very easy</t>
  </si>
  <si>
    <t xml:space="preserve">To do</t>
  </si>
  <si>
    <t xml:space="preserve">Sleep shown as duration (e.g. 7h 30m) in habit card, not raw numbers</t>
  </si>
  <si>
    <t xml:space="preserve">Health sync</t>
  </si>
  <si>
    <t xml:space="preserve">Format the sleep value in the habit card with the existing duration formatter instead of a raw number.</t>
  </si>
  <si>
    <t xml:space="preserve">get_duration_string util already exists; card display needs the fix.</t>
  </si>
  <si>
    <t xml:space="preserve">YES</t>
  </si>
  <si>
    <t xml:space="preserve">Sleep &amp; 'wake up early' count for the day you wake up</t>
  </si>
  <si>
    <t xml:space="preserve">Discord 16.10.</t>
  </si>
  <si>
    <t xml:space="preserve">Attribute a night's sleep and wake time to the wake-up day, not to yesterday's progress.</t>
  </si>
  <si>
    <t xml:space="preserve">HealthService._windowFor already queries noon-to-noon for the wake-up day. Verify on device on both platforms; may already be done.</t>
  </si>
  <si>
    <t xml:space="preserve">Easy</t>
  </si>
  <si>
    <t xml:space="preserve">'Go to bed early' counts for the previous day</t>
  </si>
  <si>
    <t xml:space="preserve">Bedtime should land on the day you went to bed (yesterday), so it needs its own window or a -1 day shift.</t>
  </si>
  <si>
    <t xml:space="preserve">bedtime currently shares the sleep window, so it lands on the wake-up day. Needs a change.</t>
  </si>
  <si>
    <t xml:space="preserve">Fix: notification opens habit details on top of another habit details page</t>
  </si>
  <si>
    <t xml:space="preserve">Bug</t>
  </si>
  <si>
    <t xml:space="preserve">Your list</t>
  </si>
  <si>
    <t xml:space="preserve">A notification tap while a details page is open should replace it, not stack a new one.</t>
  </si>
  <si>
    <t xml:space="preserve">Mostly handled in commit 063d2bd (HabitRouteTracker + _navigateToHabit replaces the page). Reproduce to find any edge case that is left, e.g. a details page opened from another route.</t>
  </si>
  <si>
    <t xml:space="preserve">Fix: streak wrong after completing a past day then today (amount/optional habits)</t>
  </si>
  <si>
    <t xml:space="preserve">Discord 23.9.</t>
  </si>
  <si>
    <t xml:space="preserve">Normal habit shows streak 2; amount/optional habit shows no streak until the habit is reopened, so the cached streak isn't refreshed after a past-day completion.</t>
  </si>
  <si>
    <t xml:space="preserve">Stale streak cache in HabitStatsProvider / streak refresh path. Needs a repro and a unit test.</t>
  </si>
  <si>
    <t xml:space="preserve">Confetti bursting out of the complete button</t>
  </si>
  <si>
    <t xml:space="preserve">Short confetti burst anchored to the button position on completion.</t>
  </si>
  <si>
    <t xml:space="preserve">confetti ^0.8.0 is already in pubspec; perfect_streak_celebration.dart can serve as a reference.</t>
  </si>
  <si>
    <t xml:space="preserve">Heavy sound when the full day is completed</t>
  </si>
  <si>
    <t xml:space="preserve">New sound asset, played once when the last habit of the day is completed (not again on undo/redo).</t>
  </si>
  <si>
    <t xml:space="preserve">Needs a new audio file plus a detector for when the whole day is completed.</t>
  </si>
  <si>
    <t xml:space="preserve">Daily planner: habit time ranges (README #3)</t>
  </si>
  <si>
    <t xml:space="preserve">Feature</t>
  </si>
  <si>
    <t xml:space="preserve">README</t>
  </si>
  <si>
    <t xml:space="preserve">Bring back adjustable time ranges for habits in the new design.</t>
  </si>
  <si>
    <t xml:space="preserve">README says the logic exists (e.g. Habit.getStartHour); only UI needed.</t>
  </si>
  <si>
    <t xml:space="preserve">Time counter: how long you've been doing a habit + strength graph over time</t>
  </si>
  <si>
    <t xml:space="preserve">README (Other)</t>
  </si>
  <si>
    <t xml:space="preserve">'Doing this for 3 months' label, plus a strength-over-time chart in habit details.</t>
  </si>
  <si>
    <t xml:space="preserve">habit_strength_calculator + fl_chart already exist; need historical strength series.</t>
  </si>
  <si>
    <t xml:space="preserve">Medium</t>
  </si>
  <si>
    <t xml:space="preserve">Health tracking stats widget in habit details page</t>
  </si>
  <si>
    <t xml:space="preserve">Dedicated stats card for health-linked habits (source, last sync, trends).</t>
  </si>
  <si>
    <t xml:space="preserve">lib/widgets/habit_details/health_widget.dart exists. Check whether it's complete or a stub.</t>
  </si>
  <si>
    <t xml:space="preserve">Merge insight sheets into one 'all recommendations' sheet</t>
  </si>
  <si>
    <t xml:space="preserve">Comeback</t>
  </si>
  <si>
    <t xml:space="preserve">Instead of several insight sheets one after another, gather them into a single sheet with all recommendations.</t>
  </si>
  <si>
    <t xml:space="preserve">lib/util/insight_sheet_flow.dart currently shows sheets one at a time (debounced). Needs a refactor to collect and batch them.</t>
  </si>
  <si>
    <t xml:space="preserve">Habit goals (README #1)</t>
  </si>
  <si>
    <t xml:space="preserve">Long-term amount/duration goal; improvement sheets keep showing until the goal is reached.</t>
  </si>
  <si>
    <t xml:space="preserve">Ties into insight_sheet_flow / adjust_target_dialog. New Habit field means Hive migration + backup doc update.</t>
  </si>
  <si>
    <t xml:space="preserve">Workouts: investigate why there are so many workouts</t>
  </si>
  <si>
    <t xml:space="preserve">Likely duplicate/overlapping sessions from several sources (watch + phone + 3rd-party apps) or EXERCISE_TIME vs WORKOUT mixing.</t>
  </si>
  <si>
    <t xml:space="preserve">workouts read WORKOUT on one platform and EXERCISE_TIME on the other. Needs dedup by source/time overlap and testing on real devices.</t>
  </si>
  <si>
    <t xml:space="preserve">Quick break: returning after more than 3 days</t>
  </si>
  <si>
    <t xml:space="preserve">Gentle 'welcome back' flow that makes it easy to get going again (e.g. don't punish streaks, quick catch-up).</t>
  </si>
  <si>
    <t xml:space="preserve">lastOpenedDate is already tracked in util/update_last_date.dart.</t>
  </si>
  <si>
    <t xml:space="preserve">Premade habit benefits (README #5)</t>
  </si>
  <si>
    <t xml:space="preserve">Custom UI per premade habit (e.g. glasses for Drink water) and user-made quick-add presets (+10, +50, +10m, +1h).</t>
  </si>
  <si>
    <t xml:space="preserve">premade_habit_catalog exists. Presets need a new Habit field and UI.</t>
  </si>
  <si>
    <t xml:space="preserve">More notification personalization (README #4)</t>
  </si>
  <si>
    <t xml:space="preserve">Notifications based on day-period completion progress, richer premade-habit texts, 5 languages.</t>
  </si>
  <si>
    <t xml:space="preserve">habit_notification_text_builder + notification_text/ exist. Mostly copy + logic, needs translations.</t>
  </si>
  <si>
    <t xml:space="preserve">Fresh start: returning after more than 7 days</t>
  </si>
  <si>
    <t xml:space="preserve">'Start fresh' dialog: pick habits to keep, pause the rest.</t>
  </si>
  <si>
    <t xml:space="preserve">Habit.isPaused already exists; needs a multi-select dialog + bulk pause + interplay with notifications/streaks.</t>
  </si>
  <si>
    <t xml:space="preserve">Hard</t>
  </si>
  <si>
    <t xml:space="preserve">Onboarding questionnaire that recommends habits (README #6)</t>
  </si>
  <si>
    <t xml:space="preserve">README + Discord 16.10.</t>
  </si>
  <si>
    <t xml:space="preserve">Ask the user a few questions in onboarding, then suggest and add premade habits.</t>
  </si>
  <si>
    <t xml:space="preserve">Onboarding pages + premade catalog exist; needs question flow, mapping rules, l10n in 5 languages.</t>
  </si>
  <si>
    <t xml:space="preserve">Show habit next day if missed (README #2)</t>
  </si>
  <si>
    <t xml:space="preserve">Toggle for weekly/monthly/custom habits: if missed, keep showing it daily until the next scheduled day.</t>
  </si>
  <si>
    <t xml:space="preserve">Touches scheduling, 'is due today', streak/strength math and notifications. Easy to break stats, so needs tests.</t>
  </si>
  <si>
    <t xml:space="preserve">Finish Apple Health &amp; Health Connect integration overall (README #0)</t>
  </si>
  <si>
    <t xml:space="preserve">README + Discord 14.9.</t>
  </si>
  <si>
    <t xml:space="preserve">Umbrella item: everything above marked 'Health sync', plus permission flows, edge cases and real-device QA on both platforms, store review requirements (privacy strings, Health Connect declaration).</t>
  </si>
  <si>
    <t xml:space="preserve">Large amount already built (HealthService, HealthProvider, docs/health_sync.md). Remaining work is the sub-items and QA.</t>
  </si>
  <si>
    <t xml:space="preserve">Urgent habits (e.g. medicine) get an alarm option</t>
  </si>
  <si>
    <t xml:space="preserve">Alarm-style notification that keeps ringing until dismissed.</t>
  </si>
  <si>
    <t xml:space="preserve">Android: full-screen intent / alarm permission (USE_EXACT_ALARM policy). iOS: critical alerts need a special Apple entitlement and may not be granted.</t>
  </si>
  <si>
    <t xml:space="preserve">Home screen widgets</t>
  </si>
  <si>
    <t xml:space="preserve">Platform</t>
  </si>
  <si>
    <t xml:space="preserve">iOS WidgetKit (Swift) + Android App Widgets, showing today's habits and maybe allowing completion.</t>
  </si>
  <si>
    <t xml:space="preserve">No native widget code yet. Needs home_widget or native code, App Group / shared storage (Hive is not readable by native), interactive widgets for completion.</t>
  </si>
  <si>
    <t xml:space="preserve">Very hard</t>
  </si>
  <si>
    <t xml:space="preserve">End-of-day Live Activity like Duolingo</t>
  </si>
  <si>
    <t xml:space="preserve">Before habits reset, show progress live (iOS Live Activity / Dynamic Island, Android ongoing notification) so you fill your progress in.</t>
  </si>
  <si>
    <t xml:space="preserve">iOS ActivityKit needs native Swift widget extension + scheduling without a server (local start only); Android equivalent via ongoing notification. Builds on the widget setup.</t>
  </si>
  <si>
    <t xml:space="preserve">MCP server for users with an account</t>
  </si>
  <si>
    <t xml:space="preserve">Let AI assistants read/update a user's habits via MCP.</t>
  </si>
  <si>
    <t xml:space="preserve">Biggest item, and it clashes with the architecture: data is local-only and backups are client-side encrypted, so a server can't read habits. Needs a backend, auth, a sync model, and a privacy-policy change. Needs a design decision before any work.</t>
  </si>
  <si>
    <t xml:space="preserve">Summary</t>
  </si>
  <si>
    <t xml:space="preserve">Tasks</t>
  </si>
  <si>
    <t xml:space="preserve">Done</t>
  </si>
  <si>
    <t xml:space="preserve">Total</t>
  </si>
  <si>
    <t xml:space="preserve">Release blockers (Health sync)</t>
  </si>
  <si>
    <t xml:space="preserve">Release unblocked?</t>
  </si>
  <si>
    <t xml:space="preserve">Scale: 1 = Very easy, 2-3 = Easy, 4-5 = Medium, 6-7 = Hard, 8-10 = Very hard.</t>
  </si>
  <si>
    <t xml:space="preserve">Edit the Status column on the Roadmap sheet (To do / In progress / Done / Verify); this sheet updates automatically.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</si>
</sst>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C00000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E2F0D9"/>
      </patternFill>
    </fill>
    <fill>
      <patternFill patternType="solid">
        <fgColor rgb="FFFDE9E9"/>
        <bgColor rgb="FFFCE4D6"/>
      </patternFill>
    </fill>
    <fill>
      <patternFill patternType="solid">
        <fgColor rgb="FFE2F0D9"/>
        <bgColor rgb="FFC6EFCE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DE9E9"/>
      </patternFill>
    </fill>
    <fill>
      <patternFill patternType="solid">
        <fgColor rgb="FFF4B6B6"/>
        <bgColor rgb="FFFF99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DE9E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4B6B6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2F0D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DE9E9"/>
      <rgbColor rgb="FFC6EFCE"/>
      <rgbColor rgb="FFFCE4D6"/>
      <rgbColor rgb="FF99CCFF"/>
      <rgbColor rgb="FFFF99CC"/>
      <rgbColor rgb="FFCC99FF"/>
      <rgbColor rgb="FFF4B6B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55"/>
    <col collapsed="false" customWidth="true" hidden="false" outlineLevel="0" max="6" min="6" style="0" width="60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</row>
    <row r="5" customFormat="false" ht="39.5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26.85" hidden="false" customHeight="false" outlineLevel="0" collapsed="false">
      <c r="A6" s="5" t="n">
        <v>1</v>
      </c>
      <c r="B6" s="6" t="s">
        <v>13</v>
      </c>
      <c r="C6" s="6" t="s">
        <v>14</v>
      </c>
      <c r="D6" s="6" t="s">
        <v>15</v>
      </c>
      <c r="E6" s="6" t="s">
        <v>16</v>
      </c>
      <c r="F6" s="6" t="s">
        <v>17</v>
      </c>
      <c r="G6" s="5" t="n">
        <v>1</v>
      </c>
      <c r="H6" s="7" t="s">
        <v>18</v>
      </c>
      <c r="I6" s="8"/>
      <c r="J6" s="5" t="s">
        <v>19</v>
      </c>
    </row>
    <row r="7" customFormat="false" ht="26.85" hidden="false" customHeight="false" outlineLevel="0" collapsed="false">
      <c r="A7" s="9" t="n">
        <v>2</v>
      </c>
      <c r="B7" s="10" t="s">
        <v>20</v>
      </c>
      <c r="C7" s="10" t="s">
        <v>21</v>
      </c>
      <c r="D7" s="10" t="s">
        <v>15</v>
      </c>
      <c r="E7" s="6" t="s">
        <v>22</v>
      </c>
      <c r="F7" s="6" t="s">
        <v>23</v>
      </c>
      <c r="G7" s="5" t="n">
        <v>1</v>
      </c>
      <c r="H7" s="7" t="s">
        <v>18</v>
      </c>
      <c r="I7" s="11" t="s">
        <v>24</v>
      </c>
      <c r="J7" s="5" t="s">
        <v>19</v>
      </c>
    </row>
    <row r="8" customFormat="false" ht="39.55" hidden="false" customHeight="false" outlineLevel="0" collapsed="false">
      <c r="A8" s="9" t="n">
        <v>3</v>
      </c>
      <c r="B8" s="10" t="s">
        <v>25</v>
      </c>
      <c r="C8" s="10" t="s">
        <v>21</v>
      </c>
      <c r="D8" s="10" t="s">
        <v>26</v>
      </c>
      <c r="E8" s="6" t="s">
        <v>27</v>
      </c>
      <c r="F8" s="6" t="s">
        <v>28</v>
      </c>
      <c r="G8" s="5" t="n">
        <v>2</v>
      </c>
      <c r="H8" s="12" t="s">
        <v>29</v>
      </c>
      <c r="I8" s="11" t="s">
        <v>24</v>
      </c>
      <c r="J8" s="5" t="s">
        <v>19</v>
      </c>
    </row>
    <row r="9" customFormat="false" ht="26.85" hidden="false" customHeight="false" outlineLevel="0" collapsed="false">
      <c r="A9" s="9" t="n">
        <v>4</v>
      </c>
      <c r="B9" s="10" t="s">
        <v>30</v>
      </c>
      <c r="C9" s="10" t="s">
        <v>21</v>
      </c>
      <c r="D9" s="10" t="s">
        <v>26</v>
      </c>
      <c r="E9" s="6" t="s">
        <v>31</v>
      </c>
      <c r="F9" s="6" t="s">
        <v>32</v>
      </c>
      <c r="G9" s="5" t="n">
        <v>2</v>
      </c>
      <c r="H9" s="12" t="s">
        <v>29</v>
      </c>
      <c r="I9" s="11" t="s">
        <v>24</v>
      </c>
      <c r="J9" s="5" t="s">
        <v>19</v>
      </c>
    </row>
    <row r="10" customFormat="false" ht="52.2" hidden="false" customHeight="false" outlineLevel="0" collapsed="false">
      <c r="A10" s="5" t="n">
        <v>5</v>
      </c>
      <c r="B10" s="6" t="s">
        <v>33</v>
      </c>
      <c r="C10" s="6" t="s">
        <v>34</v>
      </c>
      <c r="D10" s="6" t="s">
        <v>35</v>
      </c>
      <c r="E10" s="6" t="s">
        <v>36</v>
      </c>
      <c r="F10" s="6" t="s">
        <v>37</v>
      </c>
      <c r="G10" s="5" t="n">
        <v>2</v>
      </c>
      <c r="H10" s="12" t="s">
        <v>29</v>
      </c>
      <c r="I10" s="8"/>
      <c r="J10" s="5" t="s">
        <v>19</v>
      </c>
    </row>
    <row r="11" customFormat="false" ht="39.55" hidden="false" customHeight="false" outlineLevel="0" collapsed="false">
      <c r="A11" s="5" t="n">
        <v>6</v>
      </c>
      <c r="B11" s="6" t="s">
        <v>38</v>
      </c>
      <c r="C11" s="6" t="s">
        <v>34</v>
      </c>
      <c r="D11" s="6" t="s">
        <v>39</v>
      </c>
      <c r="E11" s="6" t="s">
        <v>40</v>
      </c>
      <c r="F11" s="6" t="s">
        <v>41</v>
      </c>
      <c r="G11" s="5" t="n">
        <v>3</v>
      </c>
      <c r="H11" s="12" t="s">
        <v>29</v>
      </c>
      <c r="I11" s="8"/>
      <c r="J11" s="5" t="s">
        <v>19</v>
      </c>
    </row>
    <row r="12" customFormat="false" ht="26.85" hidden="false" customHeight="false" outlineLevel="0" collapsed="false">
      <c r="A12" s="5" t="n">
        <v>7</v>
      </c>
      <c r="B12" s="6" t="s">
        <v>42</v>
      </c>
      <c r="C12" s="6" t="s">
        <v>14</v>
      </c>
      <c r="D12" s="6" t="s">
        <v>15</v>
      </c>
      <c r="E12" s="6" t="s">
        <v>43</v>
      </c>
      <c r="F12" s="6" t="s">
        <v>44</v>
      </c>
      <c r="G12" s="5" t="n">
        <v>3</v>
      </c>
      <c r="H12" s="12" t="s">
        <v>29</v>
      </c>
      <c r="I12" s="8"/>
      <c r="J12" s="5" t="s">
        <v>19</v>
      </c>
    </row>
    <row r="13" customFormat="false" ht="26.85" hidden="false" customHeight="false" outlineLevel="0" collapsed="false">
      <c r="A13" s="5" t="n">
        <v>8</v>
      </c>
      <c r="B13" s="6" t="s">
        <v>45</v>
      </c>
      <c r="C13" s="6" t="s">
        <v>14</v>
      </c>
      <c r="D13" s="6" t="s">
        <v>15</v>
      </c>
      <c r="E13" s="6" t="s">
        <v>46</v>
      </c>
      <c r="F13" s="6" t="s">
        <v>47</v>
      </c>
      <c r="G13" s="5" t="n">
        <v>3</v>
      </c>
      <c r="H13" s="12" t="s">
        <v>29</v>
      </c>
      <c r="I13" s="8"/>
      <c r="J13" s="5" t="s">
        <v>19</v>
      </c>
    </row>
    <row r="14" customFormat="false" ht="26.85" hidden="false" customHeight="false" outlineLevel="0" collapsed="false">
      <c r="A14" s="5" t="n">
        <v>9</v>
      </c>
      <c r="B14" s="6" t="s">
        <v>48</v>
      </c>
      <c r="C14" s="6" t="s">
        <v>49</v>
      </c>
      <c r="D14" s="6" t="s">
        <v>50</v>
      </c>
      <c r="E14" s="6" t="s">
        <v>51</v>
      </c>
      <c r="F14" s="6" t="s">
        <v>52</v>
      </c>
      <c r="G14" s="5" t="n">
        <v>3</v>
      </c>
      <c r="H14" s="12" t="s">
        <v>29</v>
      </c>
      <c r="I14" s="8"/>
      <c r="J14" s="5" t="s">
        <v>19</v>
      </c>
    </row>
    <row r="15" customFormat="false" ht="26.85" hidden="false" customHeight="false" outlineLevel="0" collapsed="false">
      <c r="A15" s="5" t="n">
        <v>10</v>
      </c>
      <c r="B15" s="6" t="s">
        <v>53</v>
      </c>
      <c r="C15" s="6" t="s">
        <v>49</v>
      </c>
      <c r="D15" s="6" t="s">
        <v>54</v>
      </c>
      <c r="E15" s="6" t="s">
        <v>55</v>
      </c>
      <c r="F15" s="6" t="s">
        <v>56</v>
      </c>
      <c r="G15" s="5" t="n">
        <v>4</v>
      </c>
      <c r="H15" s="13" t="s">
        <v>57</v>
      </c>
      <c r="I15" s="8"/>
      <c r="J15" s="5" t="s">
        <v>19</v>
      </c>
    </row>
    <row r="16" customFormat="false" ht="26.85" hidden="false" customHeight="false" outlineLevel="0" collapsed="false">
      <c r="A16" s="9" t="n">
        <v>11</v>
      </c>
      <c r="B16" s="10" t="s">
        <v>58</v>
      </c>
      <c r="C16" s="10" t="s">
        <v>21</v>
      </c>
      <c r="D16" s="10" t="s">
        <v>15</v>
      </c>
      <c r="E16" s="6" t="s">
        <v>59</v>
      </c>
      <c r="F16" s="6" t="s">
        <v>60</v>
      </c>
      <c r="G16" s="5" t="n">
        <v>4</v>
      </c>
      <c r="H16" s="13" t="s">
        <v>57</v>
      </c>
      <c r="I16" s="11" t="s">
        <v>24</v>
      </c>
      <c r="J16" s="5" t="s">
        <v>19</v>
      </c>
    </row>
    <row r="17" customFormat="false" ht="26.85" hidden="false" customHeight="false" outlineLevel="0" collapsed="false">
      <c r="A17" s="5" t="n">
        <v>12</v>
      </c>
      <c r="B17" s="6" t="s">
        <v>61</v>
      </c>
      <c r="C17" s="6" t="s">
        <v>62</v>
      </c>
      <c r="D17" s="6" t="s">
        <v>15</v>
      </c>
      <c r="E17" s="6" t="s">
        <v>63</v>
      </c>
      <c r="F17" s="6" t="s">
        <v>64</v>
      </c>
      <c r="G17" s="5" t="n">
        <v>4</v>
      </c>
      <c r="H17" s="13" t="s">
        <v>57</v>
      </c>
      <c r="I17" s="8"/>
      <c r="J17" s="5" t="s">
        <v>19</v>
      </c>
    </row>
    <row r="18" customFormat="false" ht="26.85" hidden="false" customHeight="false" outlineLevel="0" collapsed="false">
      <c r="A18" s="5" t="n">
        <v>13</v>
      </c>
      <c r="B18" s="6" t="s">
        <v>65</v>
      </c>
      <c r="C18" s="6" t="s">
        <v>49</v>
      </c>
      <c r="D18" s="6" t="s">
        <v>50</v>
      </c>
      <c r="E18" s="6" t="s">
        <v>66</v>
      </c>
      <c r="F18" s="6" t="s">
        <v>67</v>
      </c>
      <c r="G18" s="5" t="n">
        <v>5</v>
      </c>
      <c r="H18" s="13" t="s">
        <v>57</v>
      </c>
      <c r="I18" s="8"/>
      <c r="J18" s="5" t="s">
        <v>19</v>
      </c>
    </row>
    <row r="19" customFormat="false" ht="39.55" hidden="false" customHeight="false" outlineLevel="0" collapsed="false">
      <c r="A19" s="9" t="n">
        <v>14</v>
      </c>
      <c r="B19" s="10" t="s">
        <v>68</v>
      </c>
      <c r="C19" s="10" t="s">
        <v>21</v>
      </c>
      <c r="D19" s="10" t="s">
        <v>15</v>
      </c>
      <c r="E19" s="6" t="s">
        <v>69</v>
      </c>
      <c r="F19" s="6" t="s">
        <v>70</v>
      </c>
      <c r="G19" s="5" t="n">
        <v>5</v>
      </c>
      <c r="H19" s="13" t="s">
        <v>57</v>
      </c>
      <c r="I19" s="11" t="s">
        <v>24</v>
      </c>
      <c r="J19" s="5" t="s">
        <v>19</v>
      </c>
    </row>
    <row r="20" customFormat="false" ht="26.85" hidden="false" customHeight="false" outlineLevel="0" collapsed="false">
      <c r="A20" s="5" t="n">
        <v>15</v>
      </c>
      <c r="B20" s="6" t="s">
        <v>71</v>
      </c>
      <c r="C20" s="6" t="s">
        <v>62</v>
      </c>
      <c r="D20" s="6" t="s">
        <v>15</v>
      </c>
      <c r="E20" s="6" t="s">
        <v>72</v>
      </c>
      <c r="F20" s="6" t="s">
        <v>73</v>
      </c>
      <c r="G20" s="5" t="n">
        <v>5</v>
      </c>
      <c r="H20" s="13" t="s">
        <v>57</v>
      </c>
      <c r="I20" s="8"/>
      <c r="J20" s="5" t="s">
        <v>19</v>
      </c>
    </row>
    <row r="21" customFormat="false" ht="39.55" hidden="false" customHeight="false" outlineLevel="0" collapsed="false">
      <c r="A21" s="5" t="n">
        <v>16</v>
      </c>
      <c r="B21" s="6" t="s">
        <v>74</v>
      </c>
      <c r="C21" s="6" t="s">
        <v>49</v>
      </c>
      <c r="D21" s="6" t="s">
        <v>50</v>
      </c>
      <c r="E21" s="6" t="s">
        <v>75</v>
      </c>
      <c r="F21" s="6" t="s">
        <v>76</v>
      </c>
      <c r="G21" s="5" t="n">
        <v>5</v>
      </c>
      <c r="H21" s="13" t="s">
        <v>57</v>
      </c>
      <c r="I21" s="8"/>
      <c r="J21" s="5" t="s">
        <v>19</v>
      </c>
    </row>
    <row r="22" customFormat="false" ht="26.85" hidden="false" customHeight="false" outlineLevel="0" collapsed="false">
      <c r="A22" s="5" t="n">
        <v>17</v>
      </c>
      <c r="B22" s="6" t="s">
        <v>77</v>
      </c>
      <c r="C22" s="6" t="s">
        <v>49</v>
      </c>
      <c r="D22" s="6" t="s">
        <v>50</v>
      </c>
      <c r="E22" s="6" t="s">
        <v>78</v>
      </c>
      <c r="F22" s="6" t="s">
        <v>79</v>
      </c>
      <c r="G22" s="5" t="n">
        <v>5</v>
      </c>
      <c r="H22" s="13" t="s">
        <v>57</v>
      </c>
      <c r="I22" s="8"/>
      <c r="J22" s="5" t="s">
        <v>19</v>
      </c>
    </row>
    <row r="23" customFormat="false" ht="26.85" hidden="false" customHeight="false" outlineLevel="0" collapsed="false">
      <c r="A23" s="5" t="n">
        <v>18</v>
      </c>
      <c r="B23" s="6" t="s">
        <v>80</v>
      </c>
      <c r="C23" s="6" t="s">
        <v>62</v>
      </c>
      <c r="D23" s="6" t="s">
        <v>15</v>
      </c>
      <c r="E23" s="6" t="s">
        <v>81</v>
      </c>
      <c r="F23" s="6" t="s">
        <v>82</v>
      </c>
      <c r="G23" s="5" t="n">
        <v>6</v>
      </c>
      <c r="H23" s="14" t="s">
        <v>83</v>
      </c>
      <c r="I23" s="8"/>
      <c r="J23" s="5" t="s">
        <v>19</v>
      </c>
    </row>
    <row r="24" customFormat="false" ht="26.85" hidden="false" customHeight="false" outlineLevel="0" collapsed="false">
      <c r="A24" s="5" t="n">
        <v>19</v>
      </c>
      <c r="B24" s="6" t="s">
        <v>84</v>
      </c>
      <c r="C24" s="6" t="s">
        <v>49</v>
      </c>
      <c r="D24" s="6" t="s">
        <v>85</v>
      </c>
      <c r="E24" s="6" t="s">
        <v>86</v>
      </c>
      <c r="F24" s="6" t="s">
        <v>87</v>
      </c>
      <c r="G24" s="5" t="n">
        <v>6</v>
      </c>
      <c r="H24" s="14" t="s">
        <v>83</v>
      </c>
      <c r="I24" s="8"/>
      <c r="J24" s="5" t="s">
        <v>19</v>
      </c>
    </row>
    <row r="25" customFormat="false" ht="26.85" hidden="false" customHeight="false" outlineLevel="0" collapsed="false">
      <c r="A25" s="5" t="n">
        <v>20</v>
      </c>
      <c r="B25" s="6" t="s">
        <v>88</v>
      </c>
      <c r="C25" s="6" t="s">
        <v>49</v>
      </c>
      <c r="D25" s="6" t="s">
        <v>50</v>
      </c>
      <c r="E25" s="6" t="s">
        <v>89</v>
      </c>
      <c r="F25" s="6" t="s">
        <v>90</v>
      </c>
      <c r="G25" s="5" t="n">
        <v>7</v>
      </c>
      <c r="H25" s="14" t="s">
        <v>83</v>
      </c>
      <c r="I25" s="8"/>
      <c r="J25" s="5" t="s">
        <v>19</v>
      </c>
    </row>
    <row r="26" customFormat="false" ht="52.2" hidden="false" customHeight="false" outlineLevel="0" collapsed="false">
      <c r="A26" s="9" t="n">
        <v>21</v>
      </c>
      <c r="B26" s="10" t="s">
        <v>91</v>
      </c>
      <c r="C26" s="10" t="s">
        <v>21</v>
      </c>
      <c r="D26" s="10" t="s">
        <v>92</v>
      </c>
      <c r="E26" s="6" t="s">
        <v>93</v>
      </c>
      <c r="F26" s="6" t="s">
        <v>94</v>
      </c>
      <c r="G26" s="5" t="n">
        <v>7</v>
      </c>
      <c r="H26" s="14" t="s">
        <v>83</v>
      </c>
      <c r="I26" s="11" t="s">
        <v>24</v>
      </c>
      <c r="J26" s="5" t="s">
        <v>19</v>
      </c>
    </row>
    <row r="27" customFormat="false" ht="39.55" hidden="false" customHeight="false" outlineLevel="0" collapsed="false">
      <c r="A27" s="5" t="n">
        <v>22</v>
      </c>
      <c r="B27" s="6" t="s">
        <v>95</v>
      </c>
      <c r="C27" s="6" t="s">
        <v>49</v>
      </c>
      <c r="D27" s="6" t="s">
        <v>54</v>
      </c>
      <c r="E27" s="6" t="s">
        <v>96</v>
      </c>
      <c r="F27" s="6" t="s">
        <v>97</v>
      </c>
      <c r="G27" s="5" t="n">
        <v>7</v>
      </c>
      <c r="H27" s="14" t="s">
        <v>83</v>
      </c>
      <c r="I27" s="8"/>
      <c r="J27" s="5" t="s">
        <v>19</v>
      </c>
    </row>
    <row r="28" customFormat="false" ht="39.55" hidden="false" customHeight="false" outlineLevel="0" collapsed="false">
      <c r="A28" s="5" t="n">
        <v>23</v>
      </c>
      <c r="B28" s="6" t="s">
        <v>98</v>
      </c>
      <c r="C28" s="6" t="s">
        <v>99</v>
      </c>
      <c r="D28" s="6" t="s">
        <v>85</v>
      </c>
      <c r="E28" s="6" t="s">
        <v>100</v>
      </c>
      <c r="F28" s="6" t="s">
        <v>101</v>
      </c>
      <c r="G28" s="5" t="n">
        <v>8</v>
      </c>
      <c r="H28" s="15" t="s">
        <v>102</v>
      </c>
      <c r="I28" s="8"/>
      <c r="J28" s="5" t="s">
        <v>19</v>
      </c>
    </row>
    <row r="29" customFormat="false" ht="39.55" hidden="false" customHeight="false" outlineLevel="0" collapsed="false">
      <c r="A29" s="5" t="n">
        <v>24</v>
      </c>
      <c r="B29" s="6" t="s">
        <v>103</v>
      </c>
      <c r="C29" s="6" t="s">
        <v>99</v>
      </c>
      <c r="D29" s="6" t="s">
        <v>85</v>
      </c>
      <c r="E29" s="6" t="s">
        <v>104</v>
      </c>
      <c r="F29" s="6" t="s">
        <v>105</v>
      </c>
      <c r="G29" s="5" t="n">
        <v>9</v>
      </c>
      <c r="H29" s="15" t="s">
        <v>102</v>
      </c>
      <c r="I29" s="8"/>
      <c r="J29" s="5" t="s">
        <v>19</v>
      </c>
    </row>
    <row r="30" customFormat="false" ht="64.9" hidden="false" customHeight="false" outlineLevel="0" collapsed="false">
      <c r="A30" s="5" t="n">
        <v>25</v>
      </c>
      <c r="B30" s="6" t="s">
        <v>106</v>
      </c>
      <c r="C30" s="6" t="s">
        <v>99</v>
      </c>
      <c r="D30" s="6" t="s">
        <v>26</v>
      </c>
      <c r="E30" s="6" t="s">
        <v>107</v>
      </c>
      <c r="F30" s="6" t="s">
        <v>108</v>
      </c>
      <c r="G30" s="5" t="n">
        <v>10</v>
      </c>
      <c r="H30" s="15" t="s">
        <v>102</v>
      </c>
      <c r="I30" s="8"/>
      <c r="J30" s="5" t="s">
        <v>19</v>
      </c>
    </row>
  </sheetData>
  <autoFilter ref="A5:J30"/>
  <mergeCells count="2">
    <mergeCell ref="A2:I2"/>
    <mergeCell ref="A3:I3"/>
  </mergeCells>
  <dataValidations count="1">
    <dataValidation allowBlank="true" errorStyle="stop" operator="between" showDropDown="false" showErrorMessage="false" showInputMessage="false" sqref="J6:J30" type="list">
      <formula1>"To do,In progress,Done,Verify"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0"/>
    <col collapsed="false" customWidth="true" hidden="false" outlineLevel="0" max="3" min="3" style="0" width="10"/>
  </cols>
  <sheetData>
    <row r="1" customFormat="false" ht="17.35" hidden="false" customHeight="false" outlineLevel="0" collapsed="false">
      <c r="A1" s="1" t="s">
        <v>109</v>
      </c>
      <c r="B1" s="16"/>
      <c r="C1" s="16"/>
    </row>
    <row r="2" customFormat="false" ht="15" hidden="false" customHeight="false" outlineLevel="0" collapsed="false">
      <c r="A2" s="16"/>
      <c r="B2" s="16"/>
      <c r="C2" s="16"/>
    </row>
    <row r="3" customFormat="false" ht="15" hidden="false" customHeight="false" outlineLevel="0" collapsed="false">
      <c r="A3" s="17" t="s">
        <v>10</v>
      </c>
      <c r="B3" s="17" t="s">
        <v>110</v>
      </c>
      <c r="C3" s="17" t="s">
        <v>111</v>
      </c>
    </row>
    <row r="4" customFormat="false" ht="15" hidden="false" customHeight="false" outlineLevel="0" collapsed="false">
      <c r="A4" s="18" t="s">
        <v>18</v>
      </c>
      <c r="B4" s="16" t="n">
        <f aca="false">COUNTIF(Roadmap!$H$6:$H$30,A4)</f>
        <v>2</v>
      </c>
      <c r="C4" s="16" t="n">
        <f aca="false">COUNTIFS(Roadmap!$H$6:$H$30,A4,Roadmap!$J$6:$J$30,"Done")</f>
        <v>0</v>
      </c>
    </row>
    <row r="5" customFormat="false" ht="15" hidden="false" customHeight="false" outlineLevel="0" collapsed="false">
      <c r="A5" s="19" t="s">
        <v>29</v>
      </c>
      <c r="B5" s="16" t="n">
        <f aca="false">COUNTIF(Roadmap!$H$6:$H$30,A5)</f>
        <v>7</v>
      </c>
      <c r="C5" s="16" t="n">
        <f aca="false">COUNTIFS(Roadmap!$H$6:$H$30,A5,Roadmap!$J$6:$J$30,"Done")</f>
        <v>0</v>
      </c>
    </row>
    <row r="6" customFormat="false" ht="15" hidden="false" customHeight="false" outlineLevel="0" collapsed="false">
      <c r="A6" s="20" t="s">
        <v>57</v>
      </c>
      <c r="B6" s="16" t="n">
        <f aca="false">COUNTIF(Roadmap!$H$6:$H$30,A6)</f>
        <v>8</v>
      </c>
      <c r="C6" s="16" t="n">
        <f aca="false">COUNTIFS(Roadmap!$H$6:$H$30,A6,Roadmap!$J$6:$J$30,"Done")</f>
        <v>0</v>
      </c>
    </row>
    <row r="7" customFormat="false" ht="15" hidden="false" customHeight="false" outlineLevel="0" collapsed="false">
      <c r="A7" s="21" t="s">
        <v>83</v>
      </c>
      <c r="B7" s="16" t="n">
        <f aca="false">COUNTIF(Roadmap!$H$6:$H$30,A7)</f>
        <v>5</v>
      </c>
      <c r="C7" s="16" t="n">
        <f aca="false">COUNTIFS(Roadmap!$H$6:$H$30,A7,Roadmap!$J$6:$J$30,"Done")</f>
        <v>0</v>
      </c>
    </row>
    <row r="8" customFormat="false" ht="15" hidden="false" customHeight="false" outlineLevel="0" collapsed="false">
      <c r="A8" s="22" t="s">
        <v>102</v>
      </c>
      <c r="B8" s="16" t="n">
        <f aca="false">COUNTIF(Roadmap!$H$6:$H$30,A8)</f>
        <v>3</v>
      </c>
      <c r="C8" s="16" t="n">
        <f aca="false">COUNTIFS(Roadmap!$H$6:$H$30,A8,Roadmap!$J$6:$J$30,"Done")</f>
        <v>0</v>
      </c>
    </row>
    <row r="9" customFormat="false" ht="15" hidden="false" customHeight="false" outlineLevel="0" collapsed="false">
      <c r="A9" s="23" t="s">
        <v>112</v>
      </c>
      <c r="B9" s="16" t="n">
        <f aca="false">SUM(B4:B8)</f>
        <v>25</v>
      </c>
      <c r="C9" s="16" t="n">
        <f aca="false">SUM(C4:C8)</f>
        <v>0</v>
      </c>
    </row>
    <row r="10" customFormat="false" ht="15" hidden="false" customHeight="false" outlineLevel="0" collapsed="false">
      <c r="A10" s="16"/>
      <c r="B10" s="16"/>
      <c r="C10" s="16"/>
    </row>
    <row r="11" customFormat="false" ht="15" hidden="false" customHeight="false" outlineLevel="0" collapsed="false">
      <c r="A11" s="23" t="s">
        <v>113</v>
      </c>
      <c r="B11" s="16" t="n">
        <f aca="false">COUNTIF(Roadmap!$I$6:$I$30,"YES")</f>
        <v>6</v>
      </c>
      <c r="C11" s="16" t="n">
        <f aca="false">COUNTIFS(Roadmap!$I$6:$I$30,"YES",Roadmap!$J$6:$J$30,"Done")</f>
        <v>0</v>
      </c>
    </row>
    <row r="12" customFormat="false" ht="15" hidden="false" customHeight="false" outlineLevel="0" collapsed="false">
      <c r="A12" s="23" t="s">
        <v>114</v>
      </c>
      <c r="B12" s="16" t="str">
        <f aca="false">IF(C11=B11,"YES - can publish","NO - finish Health sync first")</f>
        <v>NO - finish Health sync first</v>
      </c>
      <c r="C12" s="16"/>
    </row>
    <row r="13" customFormat="false" ht="15" hidden="false" customHeight="false" outlineLevel="0" collapsed="false">
      <c r="A13" s="16"/>
      <c r="B13" s="16"/>
      <c r="C13" s="16"/>
    </row>
    <row r="14" customFormat="false" ht="15" hidden="false" customHeight="false" outlineLevel="0" collapsed="false">
      <c r="A14" s="16" t="s">
        <v>115</v>
      </c>
      <c r="B14" s="16"/>
      <c r="C14" s="16"/>
    </row>
    <row r="15" customFormat="false" ht="15" hidden="false" customHeight="false" outlineLevel="0" collapsed="false">
      <c r="A15" s="16" t="s">
        <v>116</v>
      </c>
      <c r="B15" s="16"/>
      <c r="C15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2026-10-16T14:22:33Z</dcterms:created>
  <dc:creator>openpyxl</dc:creator>
  <dc:description/>
  <dc:language>en-US</dc:language>
  <cp:lastModifiedBy/>
  <dcterms:modified xsi:type="dcterms:W3CDTF">2026-10-16T14:22:33Z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